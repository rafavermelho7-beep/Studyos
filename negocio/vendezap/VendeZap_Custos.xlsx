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Custo por cliente" sheetId="2" state="visible" r:id="rId2"/>
    <sheet xmlns:r="http://schemas.openxmlformats.org/officeDocument/2006/relationships" name="Cenários" sheetId="3" state="visible" r:id="rId3"/>
    <sheet xmlns:r="http://schemas.openxmlformats.org/officeDocument/2006/relationships" name="Sua 1 hora por 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R$ #,##0.0000"/>
    <numFmt numFmtId="166" formatCode="R$ #,##0.00;[Red]-R$ #,##0.00"/>
    <numFmt numFmtId="167" formatCode="R$ #,##0;[Red]-R$ #,##0"/>
  </numFmts>
  <fonts count="5">
    <font>
      <name val="Calibri"/>
      <family val="2"/>
      <color theme="1"/>
      <sz val="11"/>
      <scheme val="minor"/>
    </font>
    <font>
      <b val="1"/>
      <color rgb="0012324A"/>
      <sz val="14"/>
    </font>
    <font>
      <b val="1"/>
    </font>
    <font>
      <color rgb="000000FF"/>
    </font>
    <font>
      <b val="1"/>
      <color rgb="0012324A"/>
      <sz val="12"/>
    </font>
  </fonts>
  <fills count="4">
    <fill>
      <patternFill/>
    </fill>
    <fill>
      <patternFill patternType="gray125"/>
    </fill>
    <fill>
      <patternFill patternType="solid">
        <fgColor rgb="00DCE8F5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3" fillId="3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wrapText="1"/>
    </xf>
    <xf numFmtId="166" fontId="0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60" customWidth="1" min="3" max="3"/>
  </cols>
  <sheetData>
    <row r="1">
      <c r="A1" s="1" t="inlineStr">
        <is>
          <t>VendeZap — Premissas (células amarelas com texto azul são editáveis)</t>
        </is>
      </c>
    </row>
    <row r="2">
      <c r="A2" t="inlineStr">
        <is>
          <t>Preços conferidos em 16/10/2026 em fontes secundárias. Confirme nas páginas oficiais antes de decidir.</t>
        </is>
      </c>
    </row>
    <row r="4">
      <c r="A4" s="2" t="inlineStr">
        <is>
          <t>Premissa</t>
        </is>
      </c>
      <c r="B4" s="2" t="inlineStr">
        <is>
          <t>Valor</t>
        </is>
      </c>
      <c r="C4" s="2" t="inlineStr">
        <is>
          <t>Origem / observação</t>
        </is>
      </c>
    </row>
    <row r="5">
      <c r="A5" t="inlineStr">
        <is>
          <t>Câmbio (R$ por US$)</t>
        </is>
      </c>
      <c r="B5" s="3" t="n">
        <v>5.15</v>
      </c>
      <c r="C5" t="inlineStr">
        <is>
          <t>Meelion, 16/09/2026 — confira no Banco Central (PTAX)</t>
        </is>
      </c>
    </row>
    <row r="6">
      <c r="A6" t="inlineStr">
        <is>
          <t>OpenAI: preço entrada (US$ por 1 milhão de tokens)</t>
        </is>
      </c>
      <c r="B6" s="3" t="n">
        <v>0.25</v>
      </c>
      <c r="C6" t="inlineStr">
        <is>
          <t>gpt-5-mini, fontes secundárias out/2026</t>
        </is>
      </c>
    </row>
    <row r="7">
      <c r="A7" t="inlineStr">
        <is>
          <t>OpenAI: preço saída (US$ por 1 milhão de tokens)</t>
        </is>
      </c>
      <c r="B7" s="3" t="n">
        <v>2</v>
      </c>
      <c r="C7" t="inlineStr">
        <is>
          <t>gpt-5-mini; saída inclui tokens de raciocínio</t>
        </is>
      </c>
    </row>
    <row r="8">
      <c r="A8" t="inlineStr">
        <is>
          <t>Mensagens do cliente por conversa</t>
        </is>
      </c>
      <c r="B8" s="3" t="n">
        <v>6</v>
      </c>
      <c r="C8" t="inlineStr">
        <is>
          <t>premissa — meça no piloto</t>
        </is>
      </c>
    </row>
    <row r="9">
      <c r="A9" t="inlineStr">
        <is>
          <t>Tokens de entrada por resposta da IA</t>
        </is>
      </c>
      <c r="B9" s="3" t="n">
        <v>2000</v>
      </c>
      <c r="C9" t="inlineStr">
        <is>
          <t>instruções + dados do negócio + histórico</t>
        </is>
      </c>
    </row>
    <row r="10">
      <c r="A10" t="inlineStr">
        <is>
          <t>Tokens de saída por resposta da IA</t>
        </is>
      </c>
      <c r="B10" s="3" t="n">
        <v>350</v>
      </c>
      <c r="C10" t="inlineStr">
        <is>
          <t>texto da resposta + raciocínio interno</t>
        </is>
      </c>
    </row>
    <row r="11">
      <c r="A11" t="inlineStr">
        <is>
          <t>WhatsApp: preço por mensagem de serviço (R$)</t>
        </is>
      </c>
      <c r="B11" s="3" t="n">
        <v>0.035</v>
      </c>
      <c r="C11" t="inlineStr">
        <is>
          <t>Cloud API Brasil, desde 01/10/2026</t>
        </is>
      </c>
    </row>
    <row r="12">
      <c r="A12" t="inlineStr">
        <is>
          <t>WhatsApp: mensagens de serviço grátis por número/mês</t>
        </is>
      </c>
      <c r="B12" s="3" t="n">
        <v>1000</v>
      </c>
      <c r="C12" t="inlineStr">
        <is>
          <t>franquia por número</t>
        </is>
      </c>
    </row>
    <row r="13">
      <c r="A13" t="inlineStr">
        <is>
          <t>Dias de funcionamento por mês</t>
        </is>
      </c>
      <c r="B13" s="3" t="n">
        <v>30</v>
      </c>
      <c r="C13" t="inlineStr"/>
    </row>
    <row r="14">
      <c r="A14" t="inlineStr">
        <is>
          <t>Imposto sobre a receita (%)</t>
        </is>
      </c>
      <c r="B14" s="4" t="n">
        <v>0.06</v>
      </c>
      <c r="C14" t="inlineStr">
        <is>
          <t>estimativa Simples Nacional — confirme com contador</t>
        </is>
      </c>
    </row>
    <row r="15">
      <c r="A15" t="inlineStr">
        <is>
          <t>Taxa por cobrança (R$)</t>
        </is>
      </c>
      <c r="B15" s="3" t="n">
        <v>2</v>
      </c>
      <c r="C15" t="inlineStr">
        <is>
          <t>estimativa — depende do banco/gateway</t>
        </is>
      </c>
    </row>
    <row r="16">
      <c r="A16" t="inlineStr">
        <is>
          <t>Domínio por mês (R$)</t>
        </is>
      </c>
      <c r="B16" s="3" t="n">
        <v>3.33</v>
      </c>
      <c r="C16" t="inlineStr">
        <is>
          <t>.com.br ≈ R$ 40/ano (confirme no Registro.br)</t>
        </is>
      </c>
    </row>
    <row r="17">
      <c r="A17" t="inlineStr">
        <is>
          <t>VPS até 10 clientes (R$/mês)</t>
        </is>
      </c>
      <c r="B17" s="3" t="n">
        <v>59.99</v>
      </c>
      <c r="C17" t="inlineStr">
        <is>
          <t>Hostinger KVM 1, preço de renovação</t>
        </is>
      </c>
    </row>
    <row r="18">
      <c r="A18" t="inlineStr">
        <is>
          <t>VPS de 11 a 30 clientes (R$/mês)</t>
        </is>
      </c>
      <c r="B18" s="3" t="n">
        <v>77.98999999999999</v>
      </c>
      <c r="C18" t="inlineStr">
        <is>
          <t>Hostinger KVM 2, preço de renovação</t>
        </is>
      </c>
    </row>
    <row r="19">
      <c r="A19" t="inlineStr">
        <is>
          <t>VPS acima de 30 clientes (R$/mês)</t>
        </is>
      </c>
      <c r="B19" s="3" t="n">
        <v>155.98</v>
      </c>
      <c r="C19" t="inlineStr">
        <is>
          <t>2× KVM 2 (estimativa)</t>
        </is>
      </c>
    </row>
    <row r="20">
      <c r="A20" t="inlineStr">
        <is>
          <t>Contador a partir de 6 clientes (R$/mês)</t>
        </is>
      </c>
      <c r="B20" s="3" t="n">
        <v>200</v>
      </c>
      <c r="C20" t="inlineStr">
        <is>
          <t>estimativa</t>
        </is>
      </c>
    </row>
    <row r="21">
      <c r="A21" t="inlineStr">
        <is>
          <t>Quanto vale 1 hora sua (R$)</t>
        </is>
      </c>
      <c r="B21" s="3" t="n">
        <v>30</v>
      </c>
      <c r="C21" t="inlineStr">
        <is>
          <t>edite com o seu valor</t>
        </is>
      </c>
    </row>
    <row r="23">
      <c r="A23" s="5" t="inlineStr">
        <is>
          <t>Custo de IA por conversa (R$) — calculado</t>
        </is>
      </c>
      <c r="B23" s="6">
        <f>Premissas!$B$8*(Premissas!$B$9*Premissas!$B$6+Premissas!$B$10*Premissas!$B$7)/1000000*Premissas!$B$5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Custo de uso de UM cliente por mês (IA + WhatsApp oficial)</t>
        </is>
      </c>
    </row>
    <row r="3" ht="45" customHeight="1">
      <c r="A3" s="7" t="inlineStr">
        <is>
          <t>Conversas por dia</t>
        </is>
      </c>
      <c r="B3" s="7" t="inlineStr">
        <is>
          <t>Respostas da IA (msgs) por conversa</t>
        </is>
      </c>
      <c r="C3" s="7" t="inlineStr">
        <is>
          <t>Conversas no mês</t>
        </is>
      </c>
      <c r="D3" s="7" t="inlineStr">
        <is>
          <t>Custo IA (R$)</t>
        </is>
      </c>
      <c r="E3" s="7" t="inlineStr">
        <is>
          <t>Mensagens enviadas</t>
        </is>
      </c>
      <c r="F3" s="7" t="inlineStr">
        <is>
          <t>Mensagens pagas (acima da franquia)</t>
        </is>
      </c>
      <c r="G3" s="7" t="inlineStr">
        <is>
          <t>Custo WhatsApp (R$)</t>
        </is>
      </c>
      <c r="H3" s="7" t="inlineStr">
        <is>
          <t>Total (R$)</t>
        </is>
      </c>
    </row>
    <row r="4">
      <c r="A4" s="3" t="n">
        <v>10</v>
      </c>
      <c r="B4" s="3" t="n">
        <v>3</v>
      </c>
      <c r="C4">
        <f>A4*Premissas!$B$13</f>
        <v/>
      </c>
      <c r="D4" s="8">
        <f>C4*Premissas!$B$23</f>
        <v/>
      </c>
      <c r="E4">
        <f>C4*B4</f>
        <v/>
      </c>
      <c r="F4">
        <f>MAX(0,E4-Premissas!$B$12)</f>
        <v/>
      </c>
      <c r="G4" s="8">
        <f>F4*Premissas!$B$11</f>
        <v/>
      </c>
      <c r="H4" s="8">
        <f>D4+G4</f>
        <v/>
      </c>
    </row>
    <row r="5">
      <c r="A5" s="3" t="n">
        <v>15</v>
      </c>
      <c r="B5" s="3" t="n">
        <v>3</v>
      </c>
      <c r="C5">
        <f>A5*Premissas!$B$13</f>
        <v/>
      </c>
      <c r="D5" s="8">
        <f>C5*Premissas!$B$23</f>
        <v/>
      </c>
      <c r="E5">
        <f>C5*B5</f>
        <v/>
      </c>
      <c r="F5">
        <f>MAX(0,E5-Premissas!$B$12)</f>
        <v/>
      </c>
      <c r="G5" s="8">
        <f>F5*Premissas!$B$11</f>
        <v/>
      </c>
      <c r="H5" s="8">
        <f>D5+G5</f>
        <v/>
      </c>
    </row>
    <row r="6">
      <c r="A6" s="3" t="n">
        <v>20</v>
      </c>
      <c r="B6" s="3" t="n">
        <v>4</v>
      </c>
      <c r="C6">
        <f>A6*Premissas!$B$13</f>
        <v/>
      </c>
      <c r="D6" s="8">
        <f>C6*Premissas!$B$23</f>
        <v/>
      </c>
      <c r="E6">
        <f>C6*B6</f>
        <v/>
      </c>
      <c r="F6">
        <f>MAX(0,E6-Premissas!$B$12)</f>
        <v/>
      </c>
      <c r="G6" s="8">
        <f>F6*Premissas!$B$11</f>
        <v/>
      </c>
      <c r="H6" s="8">
        <f>D6+G6</f>
        <v/>
      </c>
    </row>
    <row r="7">
      <c r="A7" s="3" t="n">
        <v>50</v>
      </c>
      <c r="B7" s="3" t="n">
        <v>4</v>
      </c>
      <c r="C7">
        <f>A7*Premissas!$B$13</f>
        <v/>
      </c>
      <c r="D7" s="8">
        <f>C7*Premissas!$B$23</f>
        <v/>
      </c>
      <c r="E7">
        <f>C7*B7</f>
        <v/>
      </c>
      <c r="F7">
        <f>MAX(0,E7-Premissas!$B$12)</f>
        <v/>
      </c>
      <c r="G7" s="8">
        <f>F7*Premissas!$B$11</f>
        <v/>
      </c>
      <c r="H7" s="8">
        <f>D7+G7</f>
        <v/>
      </c>
    </row>
    <row r="8">
      <c r="A8" s="3" t="n">
        <v>100</v>
      </c>
      <c r="B8" s="3" t="n">
        <v>4</v>
      </c>
      <c r="C8">
        <f>A8*Premissas!$B$13</f>
        <v/>
      </c>
      <c r="D8" s="8">
        <f>C8*Premissas!$B$23</f>
        <v/>
      </c>
      <c r="E8">
        <f>C8*B8</f>
        <v/>
      </c>
      <c r="F8">
        <f>MAX(0,E8-Premissas!$B$12)</f>
        <v/>
      </c>
      <c r="G8" s="8">
        <f>F8*Premissas!$B$11</f>
        <v/>
      </c>
      <c r="H8" s="8">
        <f>D8+G8</f>
        <v/>
      </c>
    </row>
    <row r="10">
      <c r="A10" t="inlineStr">
        <is>
          <t>Com a ponte não oficial (QR Code) o custo do WhatsApp por mensagem é R$ 0 — mas há risco de bloqueio do número.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2" customWidth="1" min="4" max="4"/>
    <col width="11" customWidth="1" min="5" max="5"/>
    <col width="13" customWidth="1" min="6" max="6"/>
    <col width="13" customWidth="1" min="7" max="7"/>
    <col width="11" customWidth="1" min="8" max="8"/>
    <col width="11" customWidth="1" min="9" max="9"/>
    <col width="14" customWidth="1" min="10" max="10"/>
    <col width="11" customWidth="1" min="11" max="11"/>
    <col width="16" customWidth="1" min="12" max="12"/>
  </cols>
  <sheetData>
    <row r="1">
      <c r="A1" s="1" t="inlineStr">
        <is>
          <t>Cenários mensais por número de clientes (fórmulas ligadas às Premissas)</t>
        </is>
      </c>
    </row>
    <row r="2">
      <c r="A2" t="inlineStr">
        <is>
          <t>Taxa de implantação (setup) é receita única e NÃO entra nesta tabela mensal.</t>
        </is>
      </c>
    </row>
    <row r="4">
      <c r="A4" s="9" t="inlineStr">
        <is>
          <t>Cenário Conservador</t>
        </is>
      </c>
    </row>
    <row r="5">
      <c r="A5" t="inlineStr">
        <is>
          <t>Mensalidade por cliente (R$)</t>
        </is>
      </c>
      <c r="B5" s="3" t="n">
        <v>97</v>
      </c>
    </row>
    <row r="6">
      <c r="A6" t="inlineStr">
        <is>
          <t>Conversas por dia por cliente</t>
        </is>
      </c>
      <c r="B6" s="3" t="n">
        <v>20</v>
      </c>
    </row>
    <row r="7">
      <c r="A7" t="inlineStr">
        <is>
          <t>Respostas da IA por conversa</t>
        </is>
      </c>
      <c r="B7" s="3" t="n">
        <v>4</v>
      </c>
    </row>
    <row r="8">
      <c r="A8" t="inlineStr">
        <is>
          <t>Horas suas por cliente/mês</t>
        </is>
      </c>
      <c r="B8" s="3" t="n">
        <v>1.5</v>
      </c>
    </row>
    <row r="9">
      <c r="A9" t="inlineStr">
        <is>
          <t>Taxa de implantação (R$, única)</t>
        </is>
      </c>
      <c r="B9" s="3" t="n">
        <v>0</v>
      </c>
    </row>
    <row r="11">
      <c r="A11" s="10" t="inlineStr">
        <is>
          <t>Clientes</t>
        </is>
      </c>
      <c r="B11" s="10" t="inlineStr">
        <is>
          <t>Receita</t>
        </is>
      </c>
      <c r="C11" s="10" t="inlineStr">
        <is>
          <t>IA</t>
        </is>
      </c>
      <c r="D11" s="10" t="inlineStr">
        <is>
          <t>WhatsApp</t>
        </is>
      </c>
      <c r="E11" s="10" t="inlineStr">
        <is>
          <t>Cobranças</t>
        </is>
      </c>
      <c r="F11" s="10" t="inlineStr">
        <is>
          <t>Servidor + domínio</t>
        </is>
      </c>
      <c r="G11" s="10" t="inlineStr">
        <is>
          <t>Lucro bruto</t>
        </is>
      </c>
      <c r="H11" s="10" t="inlineStr">
        <is>
          <t>Impostos</t>
        </is>
      </c>
      <c r="I11" s="10" t="inlineStr">
        <is>
          <t>Contador</t>
        </is>
      </c>
      <c r="J11" s="10" t="inlineStr">
        <is>
          <t>Lucro operacional</t>
        </is>
      </c>
      <c r="K11" s="10" t="inlineStr">
        <is>
          <t>Horas suas/mês</t>
        </is>
      </c>
      <c r="L11" s="10" t="inlineStr">
        <is>
          <t>Lucro − valor do seu tempo</t>
        </is>
      </c>
    </row>
    <row r="12">
      <c r="A12" s="11" t="n">
        <v>1</v>
      </c>
      <c r="B12" s="12">
        <f>A12*$B$5</f>
        <v/>
      </c>
      <c r="C12" s="12">
        <f>A12*$B$6*Premissas!$B$13*Premissas!$B$23</f>
        <v/>
      </c>
      <c r="D12" s="12">
        <f>A12*MAX(0,$B$6*Premissas!$B$13*$B$7-Premissas!$B$12)*Premissas!$B$11</f>
        <v/>
      </c>
      <c r="E12" s="12">
        <f>A12*Premissas!$B$15</f>
        <v/>
      </c>
      <c r="F12" s="12">
        <f>IF(A12&lt;=10,Premissas!$B$17,IF(A12&lt;=30,Premissas!$B$18,Premissas!$B$19))+Premissas!$B$16</f>
        <v/>
      </c>
      <c r="G12" s="12">
        <f>B12-C12-D12-E12-F12</f>
        <v/>
      </c>
      <c r="H12" s="12">
        <f>B12*Premissas!$B$14</f>
        <v/>
      </c>
      <c r="I12" s="12">
        <f>IF(A12&lt;=5,0,Premissas!$B$20)</f>
        <v/>
      </c>
      <c r="J12" s="12">
        <f>G12-H12-I12</f>
        <v/>
      </c>
      <c r="K12" s="11">
        <f>A12*$B$8</f>
        <v/>
      </c>
      <c r="L12" s="12">
        <f>J12-K12*Premissas!$B$21</f>
        <v/>
      </c>
    </row>
    <row r="13">
      <c r="A13" s="11" t="n">
        <v>5</v>
      </c>
      <c r="B13" s="12">
        <f>A13*$B$5</f>
        <v/>
      </c>
      <c r="C13" s="12">
        <f>A13*$B$6*Premissas!$B$13*Premissas!$B$23</f>
        <v/>
      </c>
      <c r="D13" s="12">
        <f>A13*MAX(0,$B$6*Premissas!$B$13*$B$7-Premissas!$B$12)*Premissas!$B$11</f>
        <v/>
      </c>
      <c r="E13" s="12">
        <f>A13*Premissas!$B$15</f>
        <v/>
      </c>
      <c r="F13" s="12">
        <f>IF(A13&lt;=10,Premissas!$B$17,IF(A13&lt;=30,Premissas!$B$18,Premissas!$B$19))+Premissas!$B$16</f>
        <v/>
      </c>
      <c r="G13" s="12">
        <f>B13-C13-D13-E13-F13</f>
        <v/>
      </c>
      <c r="H13" s="12">
        <f>B13*Premissas!$B$14</f>
        <v/>
      </c>
      <c r="I13" s="12">
        <f>IF(A13&lt;=5,0,Premissas!$B$20)</f>
        <v/>
      </c>
      <c r="J13" s="12">
        <f>G13-H13-I13</f>
        <v/>
      </c>
      <c r="K13" s="11">
        <f>A13*$B$8</f>
        <v/>
      </c>
      <c r="L13" s="12">
        <f>J13-K13*Premissas!$B$21</f>
        <v/>
      </c>
    </row>
    <row r="14">
      <c r="A14" s="11" t="n">
        <v>10</v>
      </c>
      <c r="B14" s="12">
        <f>A14*$B$5</f>
        <v/>
      </c>
      <c r="C14" s="12">
        <f>A14*$B$6*Premissas!$B$13*Premissas!$B$23</f>
        <v/>
      </c>
      <c r="D14" s="12">
        <f>A14*MAX(0,$B$6*Premissas!$B$13*$B$7-Premissas!$B$12)*Premissas!$B$11</f>
        <v/>
      </c>
      <c r="E14" s="12">
        <f>A14*Premissas!$B$15</f>
        <v/>
      </c>
      <c r="F14" s="12">
        <f>IF(A14&lt;=10,Premissas!$B$17,IF(A14&lt;=30,Premissas!$B$18,Premissas!$B$19))+Premissas!$B$16</f>
        <v/>
      </c>
      <c r="G14" s="12">
        <f>B14-C14-D14-E14-F14</f>
        <v/>
      </c>
      <c r="H14" s="12">
        <f>B14*Premissas!$B$14</f>
        <v/>
      </c>
      <c r="I14" s="12">
        <f>IF(A14&lt;=5,0,Premissas!$B$20)</f>
        <v/>
      </c>
      <c r="J14" s="12">
        <f>G14-H14-I14</f>
        <v/>
      </c>
      <c r="K14" s="11">
        <f>A14*$B$8</f>
        <v/>
      </c>
      <c r="L14" s="12">
        <f>J14-K14*Premissas!$B$21</f>
        <v/>
      </c>
    </row>
    <row r="15">
      <c r="A15" s="11" t="n">
        <v>25</v>
      </c>
      <c r="B15" s="12">
        <f>A15*$B$5</f>
        <v/>
      </c>
      <c r="C15" s="12">
        <f>A15*$B$6*Premissas!$B$13*Premissas!$B$23</f>
        <v/>
      </c>
      <c r="D15" s="12">
        <f>A15*MAX(0,$B$6*Premissas!$B$13*$B$7-Premissas!$B$12)*Premissas!$B$11</f>
        <v/>
      </c>
      <c r="E15" s="12">
        <f>A15*Premissas!$B$15</f>
        <v/>
      </c>
      <c r="F15" s="12">
        <f>IF(A15&lt;=10,Premissas!$B$17,IF(A15&lt;=30,Premissas!$B$18,Premissas!$B$19))+Premissas!$B$16</f>
        <v/>
      </c>
      <c r="G15" s="12">
        <f>B15-C15-D15-E15-F15</f>
        <v/>
      </c>
      <c r="H15" s="12">
        <f>B15*Premissas!$B$14</f>
        <v/>
      </c>
      <c r="I15" s="12">
        <f>IF(A15&lt;=5,0,Premissas!$B$20)</f>
        <v/>
      </c>
      <c r="J15" s="12">
        <f>G15-H15-I15</f>
        <v/>
      </c>
      <c r="K15" s="11">
        <f>A15*$B$8</f>
        <v/>
      </c>
      <c r="L15" s="12">
        <f>J15-K15*Premissas!$B$21</f>
        <v/>
      </c>
    </row>
    <row r="16">
      <c r="A16" s="11" t="n">
        <v>50</v>
      </c>
      <c r="B16" s="12">
        <f>A16*$B$5</f>
        <v/>
      </c>
      <c r="C16" s="12">
        <f>A16*$B$6*Premissas!$B$13*Premissas!$B$23</f>
        <v/>
      </c>
      <c r="D16" s="12">
        <f>A16*MAX(0,$B$6*Premissas!$B$13*$B$7-Premissas!$B$12)*Premissas!$B$11</f>
        <v/>
      </c>
      <c r="E16" s="12">
        <f>A16*Premissas!$B$15</f>
        <v/>
      </c>
      <c r="F16" s="12">
        <f>IF(A16&lt;=10,Premissas!$B$17,IF(A16&lt;=30,Premissas!$B$18,Premissas!$B$19))+Premissas!$B$16</f>
        <v/>
      </c>
      <c r="G16" s="12">
        <f>B16-C16-D16-E16-F16</f>
        <v/>
      </c>
      <c r="H16" s="12">
        <f>B16*Premissas!$B$14</f>
        <v/>
      </c>
      <c r="I16" s="12">
        <f>IF(A16&lt;=5,0,Premissas!$B$20)</f>
        <v/>
      </c>
      <c r="J16" s="12">
        <f>G16-H16-I16</f>
        <v/>
      </c>
      <c r="K16" s="11">
        <f>A16*$B$8</f>
        <v/>
      </c>
      <c r="L16" s="12">
        <f>J16-K16*Premissas!$B$21</f>
        <v/>
      </c>
    </row>
    <row r="19">
      <c r="A19" s="9" t="inlineStr">
        <is>
          <t>Cenário Base</t>
        </is>
      </c>
    </row>
    <row r="20">
      <c r="A20" t="inlineStr">
        <is>
          <t>Mensalidade por cliente (R$)</t>
        </is>
      </c>
      <c r="B20" s="3" t="n">
        <v>147</v>
      </c>
    </row>
    <row r="21">
      <c r="A21" t="inlineStr">
        <is>
          <t>Conversas por dia por cliente</t>
        </is>
      </c>
      <c r="B21" s="3" t="n">
        <v>15</v>
      </c>
    </row>
    <row r="22">
      <c r="A22" t="inlineStr">
        <is>
          <t>Respostas da IA por conversa</t>
        </is>
      </c>
      <c r="B22" s="3" t="n">
        <v>3</v>
      </c>
    </row>
    <row r="23">
      <c r="A23" t="inlineStr">
        <is>
          <t>Horas suas por cliente/mês</t>
        </is>
      </c>
      <c r="B23" s="3" t="n">
        <v>1</v>
      </c>
    </row>
    <row r="24">
      <c r="A24" t="inlineStr">
        <is>
          <t>Taxa de implantação (R$, única)</t>
        </is>
      </c>
      <c r="B24" s="3" t="n">
        <v>197</v>
      </c>
    </row>
    <row r="26">
      <c r="A26" s="10" t="inlineStr">
        <is>
          <t>Clientes</t>
        </is>
      </c>
      <c r="B26" s="10" t="inlineStr">
        <is>
          <t>Receita</t>
        </is>
      </c>
      <c r="C26" s="10" t="inlineStr">
        <is>
          <t>IA</t>
        </is>
      </c>
      <c r="D26" s="10" t="inlineStr">
        <is>
          <t>WhatsApp</t>
        </is>
      </c>
      <c r="E26" s="10" t="inlineStr">
        <is>
          <t>Cobranças</t>
        </is>
      </c>
      <c r="F26" s="10" t="inlineStr">
        <is>
          <t>Servidor + domínio</t>
        </is>
      </c>
      <c r="G26" s="10" t="inlineStr">
        <is>
          <t>Lucro bruto</t>
        </is>
      </c>
      <c r="H26" s="10" t="inlineStr">
        <is>
          <t>Impostos</t>
        </is>
      </c>
      <c r="I26" s="10" t="inlineStr">
        <is>
          <t>Contador</t>
        </is>
      </c>
      <c r="J26" s="10" t="inlineStr">
        <is>
          <t>Lucro operacional</t>
        </is>
      </c>
      <c r="K26" s="10" t="inlineStr">
        <is>
          <t>Horas suas/mês</t>
        </is>
      </c>
      <c r="L26" s="10" t="inlineStr">
        <is>
          <t>Lucro − valor do seu tempo</t>
        </is>
      </c>
    </row>
    <row r="27">
      <c r="A27" s="11" t="n">
        <v>1</v>
      </c>
      <c r="B27" s="12">
        <f>A27*$B$20</f>
        <v/>
      </c>
      <c r="C27" s="12">
        <f>A27*$B$21*Premissas!$B$13*Premissas!$B$23</f>
        <v/>
      </c>
      <c r="D27" s="12">
        <f>A27*MAX(0,$B$21*Premissas!$B$13*$B$22-Premissas!$B$12)*Premissas!$B$11</f>
        <v/>
      </c>
      <c r="E27" s="12">
        <f>A27*Premissas!$B$15</f>
        <v/>
      </c>
      <c r="F27" s="12">
        <f>IF(A27&lt;=10,Premissas!$B$17,IF(A27&lt;=30,Premissas!$B$18,Premissas!$B$19))+Premissas!$B$16</f>
        <v/>
      </c>
      <c r="G27" s="12">
        <f>B27-C27-D27-E27-F27</f>
        <v/>
      </c>
      <c r="H27" s="12">
        <f>B27*Premissas!$B$14</f>
        <v/>
      </c>
      <c r="I27" s="12">
        <f>IF(A27&lt;=5,0,Premissas!$B$20)</f>
        <v/>
      </c>
      <c r="J27" s="12">
        <f>G27-H27-I27</f>
        <v/>
      </c>
      <c r="K27" s="11">
        <f>A27*$B$23</f>
        <v/>
      </c>
      <c r="L27" s="12">
        <f>J27-K27*Premissas!$B$21</f>
        <v/>
      </c>
    </row>
    <row r="28">
      <c r="A28" s="11" t="n">
        <v>5</v>
      </c>
      <c r="B28" s="12">
        <f>A28*$B$20</f>
        <v/>
      </c>
      <c r="C28" s="12">
        <f>A28*$B$21*Premissas!$B$13*Premissas!$B$23</f>
        <v/>
      </c>
      <c r="D28" s="12">
        <f>A28*MAX(0,$B$21*Premissas!$B$13*$B$22-Premissas!$B$12)*Premissas!$B$11</f>
        <v/>
      </c>
      <c r="E28" s="12">
        <f>A28*Premissas!$B$15</f>
        <v/>
      </c>
      <c r="F28" s="12">
        <f>IF(A28&lt;=10,Premissas!$B$17,IF(A28&lt;=30,Premissas!$B$18,Premissas!$B$19))+Premissas!$B$16</f>
        <v/>
      </c>
      <c r="G28" s="12">
        <f>B28-C28-D28-E28-F28</f>
        <v/>
      </c>
      <c r="H28" s="12">
        <f>B28*Premissas!$B$14</f>
        <v/>
      </c>
      <c r="I28" s="12">
        <f>IF(A28&lt;=5,0,Premissas!$B$20)</f>
        <v/>
      </c>
      <c r="J28" s="12">
        <f>G28-H28-I28</f>
        <v/>
      </c>
      <c r="K28" s="11">
        <f>A28*$B$23</f>
        <v/>
      </c>
      <c r="L28" s="12">
        <f>J28-K28*Premissas!$B$21</f>
        <v/>
      </c>
    </row>
    <row r="29">
      <c r="A29" s="11" t="n">
        <v>10</v>
      </c>
      <c r="B29" s="12">
        <f>A29*$B$20</f>
        <v/>
      </c>
      <c r="C29" s="12">
        <f>A29*$B$21*Premissas!$B$13*Premissas!$B$23</f>
        <v/>
      </c>
      <c r="D29" s="12">
        <f>A29*MAX(0,$B$21*Premissas!$B$13*$B$22-Premissas!$B$12)*Premissas!$B$11</f>
        <v/>
      </c>
      <c r="E29" s="12">
        <f>A29*Premissas!$B$15</f>
        <v/>
      </c>
      <c r="F29" s="12">
        <f>IF(A29&lt;=10,Premissas!$B$17,IF(A29&lt;=30,Premissas!$B$18,Premissas!$B$19))+Premissas!$B$16</f>
        <v/>
      </c>
      <c r="G29" s="12">
        <f>B29-C29-D29-E29-F29</f>
        <v/>
      </c>
      <c r="H29" s="12">
        <f>B29*Premissas!$B$14</f>
        <v/>
      </c>
      <c r="I29" s="12">
        <f>IF(A29&lt;=5,0,Premissas!$B$20)</f>
        <v/>
      </c>
      <c r="J29" s="12">
        <f>G29-H29-I29</f>
        <v/>
      </c>
      <c r="K29" s="11">
        <f>A29*$B$23</f>
        <v/>
      </c>
      <c r="L29" s="12">
        <f>J29-K29*Premissas!$B$21</f>
        <v/>
      </c>
    </row>
    <row r="30">
      <c r="A30" s="11" t="n">
        <v>25</v>
      </c>
      <c r="B30" s="12">
        <f>A30*$B$20</f>
        <v/>
      </c>
      <c r="C30" s="12">
        <f>A30*$B$21*Premissas!$B$13*Premissas!$B$23</f>
        <v/>
      </c>
      <c r="D30" s="12">
        <f>A30*MAX(0,$B$21*Premissas!$B$13*$B$22-Premissas!$B$12)*Premissas!$B$11</f>
        <v/>
      </c>
      <c r="E30" s="12">
        <f>A30*Premissas!$B$15</f>
        <v/>
      </c>
      <c r="F30" s="12">
        <f>IF(A30&lt;=10,Premissas!$B$17,IF(A30&lt;=30,Premissas!$B$18,Premissas!$B$19))+Premissas!$B$16</f>
        <v/>
      </c>
      <c r="G30" s="12">
        <f>B30-C30-D30-E30-F30</f>
        <v/>
      </c>
      <c r="H30" s="12">
        <f>B30*Premissas!$B$14</f>
        <v/>
      </c>
      <c r="I30" s="12">
        <f>IF(A30&lt;=5,0,Premissas!$B$20)</f>
        <v/>
      </c>
      <c r="J30" s="12">
        <f>G30-H30-I30</f>
        <v/>
      </c>
      <c r="K30" s="11">
        <f>A30*$B$23</f>
        <v/>
      </c>
      <c r="L30" s="12">
        <f>J30-K30*Premissas!$B$21</f>
        <v/>
      </c>
    </row>
    <row r="31">
      <c r="A31" s="11" t="n">
        <v>50</v>
      </c>
      <c r="B31" s="12">
        <f>A31*$B$20</f>
        <v/>
      </c>
      <c r="C31" s="12">
        <f>A31*$B$21*Premissas!$B$13*Premissas!$B$23</f>
        <v/>
      </c>
      <c r="D31" s="12">
        <f>A31*MAX(0,$B$21*Premissas!$B$13*$B$22-Premissas!$B$12)*Premissas!$B$11</f>
        <v/>
      </c>
      <c r="E31" s="12">
        <f>A31*Premissas!$B$15</f>
        <v/>
      </c>
      <c r="F31" s="12">
        <f>IF(A31&lt;=10,Premissas!$B$17,IF(A31&lt;=30,Premissas!$B$18,Premissas!$B$19))+Premissas!$B$16</f>
        <v/>
      </c>
      <c r="G31" s="12">
        <f>B31-C31-D31-E31-F31</f>
        <v/>
      </c>
      <c r="H31" s="12">
        <f>B31*Premissas!$B$14</f>
        <v/>
      </c>
      <c r="I31" s="12">
        <f>IF(A31&lt;=5,0,Premissas!$B$20)</f>
        <v/>
      </c>
      <c r="J31" s="12">
        <f>G31-H31-I31</f>
        <v/>
      </c>
      <c r="K31" s="11">
        <f>A31*$B$23</f>
        <v/>
      </c>
      <c r="L31" s="12">
        <f>J31-K31*Premissas!$B$21</f>
        <v/>
      </c>
    </row>
    <row r="34">
      <c r="A34" s="9" t="inlineStr">
        <is>
          <t>Cenário Otimista</t>
        </is>
      </c>
    </row>
    <row r="35">
      <c r="A35" t="inlineStr">
        <is>
          <t>Mensalidade por cliente (R$)</t>
        </is>
      </c>
      <c r="B35" s="3" t="n">
        <v>197</v>
      </c>
    </row>
    <row r="36">
      <c r="A36" t="inlineStr">
        <is>
          <t>Conversas por dia por cliente</t>
        </is>
      </c>
      <c r="B36" s="3" t="n">
        <v>12</v>
      </c>
    </row>
    <row r="37">
      <c r="A37" t="inlineStr">
        <is>
          <t>Respostas da IA por conversa</t>
        </is>
      </c>
      <c r="B37" s="3" t="n">
        <v>3</v>
      </c>
    </row>
    <row r="38">
      <c r="A38" t="inlineStr">
        <is>
          <t>Horas suas por cliente/mês</t>
        </is>
      </c>
      <c r="B38" s="3" t="n">
        <v>0.75</v>
      </c>
    </row>
    <row r="39">
      <c r="A39" t="inlineStr">
        <is>
          <t>Taxa de implantação (R$, única)</t>
        </is>
      </c>
      <c r="B39" s="3" t="n">
        <v>297</v>
      </c>
    </row>
    <row r="41">
      <c r="A41" s="10" t="inlineStr">
        <is>
          <t>Clientes</t>
        </is>
      </c>
      <c r="B41" s="10" t="inlineStr">
        <is>
          <t>Receita</t>
        </is>
      </c>
      <c r="C41" s="10" t="inlineStr">
        <is>
          <t>IA</t>
        </is>
      </c>
      <c r="D41" s="10" t="inlineStr">
        <is>
          <t>WhatsApp</t>
        </is>
      </c>
      <c r="E41" s="10" t="inlineStr">
        <is>
          <t>Cobranças</t>
        </is>
      </c>
      <c r="F41" s="10" t="inlineStr">
        <is>
          <t>Servidor + domínio</t>
        </is>
      </c>
      <c r="G41" s="10" t="inlineStr">
        <is>
          <t>Lucro bruto</t>
        </is>
      </c>
      <c r="H41" s="10" t="inlineStr">
        <is>
          <t>Impostos</t>
        </is>
      </c>
      <c r="I41" s="10" t="inlineStr">
        <is>
          <t>Contador</t>
        </is>
      </c>
      <c r="J41" s="10" t="inlineStr">
        <is>
          <t>Lucro operacional</t>
        </is>
      </c>
      <c r="K41" s="10" t="inlineStr">
        <is>
          <t>Horas suas/mês</t>
        </is>
      </c>
      <c r="L41" s="10" t="inlineStr">
        <is>
          <t>Lucro − valor do seu tempo</t>
        </is>
      </c>
    </row>
    <row r="42">
      <c r="A42" s="11" t="n">
        <v>1</v>
      </c>
      <c r="B42" s="12">
        <f>A42*$B$35</f>
        <v/>
      </c>
      <c r="C42" s="12">
        <f>A42*$B$36*Premissas!$B$13*Premissas!$B$23</f>
        <v/>
      </c>
      <c r="D42" s="12">
        <f>A42*MAX(0,$B$36*Premissas!$B$13*$B$37-Premissas!$B$12)*Premissas!$B$11</f>
        <v/>
      </c>
      <c r="E42" s="12">
        <f>A42*Premissas!$B$15</f>
        <v/>
      </c>
      <c r="F42" s="12">
        <f>IF(A42&lt;=10,Premissas!$B$17,IF(A42&lt;=30,Premissas!$B$18,Premissas!$B$19))+Premissas!$B$16</f>
        <v/>
      </c>
      <c r="G42" s="12">
        <f>B42-C42-D42-E42-F42</f>
        <v/>
      </c>
      <c r="H42" s="12">
        <f>B42*Premissas!$B$14</f>
        <v/>
      </c>
      <c r="I42" s="12">
        <f>IF(A42&lt;=5,0,Premissas!$B$20)</f>
        <v/>
      </c>
      <c r="J42" s="12">
        <f>G42-H42-I42</f>
        <v/>
      </c>
      <c r="K42" s="11">
        <f>A42*$B$38</f>
        <v/>
      </c>
      <c r="L42" s="12">
        <f>J42-K42*Premissas!$B$21</f>
        <v/>
      </c>
    </row>
    <row r="43">
      <c r="A43" s="11" t="n">
        <v>5</v>
      </c>
      <c r="B43" s="12">
        <f>A43*$B$35</f>
        <v/>
      </c>
      <c r="C43" s="12">
        <f>A43*$B$36*Premissas!$B$13*Premissas!$B$23</f>
        <v/>
      </c>
      <c r="D43" s="12">
        <f>A43*MAX(0,$B$36*Premissas!$B$13*$B$37-Premissas!$B$12)*Premissas!$B$11</f>
        <v/>
      </c>
      <c r="E43" s="12">
        <f>A43*Premissas!$B$15</f>
        <v/>
      </c>
      <c r="F43" s="12">
        <f>IF(A43&lt;=10,Premissas!$B$17,IF(A43&lt;=30,Premissas!$B$18,Premissas!$B$19))+Premissas!$B$16</f>
        <v/>
      </c>
      <c r="G43" s="12">
        <f>B43-C43-D43-E43-F43</f>
        <v/>
      </c>
      <c r="H43" s="12">
        <f>B43*Premissas!$B$14</f>
        <v/>
      </c>
      <c r="I43" s="12">
        <f>IF(A43&lt;=5,0,Premissas!$B$20)</f>
        <v/>
      </c>
      <c r="J43" s="12">
        <f>G43-H43-I43</f>
        <v/>
      </c>
      <c r="K43" s="11">
        <f>A43*$B$38</f>
        <v/>
      </c>
      <c r="L43" s="12">
        <f>J43-K43*Premissas!$B$21</f>
        <v/>
      </c>
    </row>
    <row r="44">
      <c r="A44" s="11" t="n">
        <v>10</v>
      </c>
      <c r="B44" s="12">
        <f>A44*$B$35</f>
        <v/>
      </c>
      <c r="C44" s="12">
        <f>A44*$B$36*Premissas!$B$13*Premissas!$B$23</f>
        <v/>
      </c>
      <c r="D44" s="12">
        <f>A44*MAX(0,$B$36*Premissas!$B$13*$B$37-Premissas!$B$12)*Premissas!$B$11</f>
        <v/>
      </c>
      <c r="E44" s="12">
        <f>A44*Premissas!$B$15</f>
        <v/>
      </c>
      <c r="F44" s="12">
        <f>IF(A44&lt;=10,Premissas!$B$17,IF(A44&lt;=30,Premissas!$B$18,Premissas!$B$19))+Premissas!$B$16</f>
        <v/>
      </c>
      <c r="G44" s="12">
        <f>B44-C44-D44-E44-F44</f>
        <v/>
      </c>
      <c r="H44" s="12">
        <f>B44*Premissas!$B$14</f>
        <v/>
      </c>
      <c r="I44" s="12">
        <f>IF(A44&lt;=5,0,Premissas!$B$20)</f>
        <v/>
      </c>
      <c r="J44" s="12">
        <f>G44-H44-I44</f>
        <v/>
      </c>
      <c r="K44" s="11">
        <f>A44*$B$38</f>
        <v/>
      </c>
      <c r="L44" s="12">
        <f>J44-K44*Premissas!$B$21</f>
        <v/>
      </c>
    </row>
    <row r="45">
      <c r="A45" s="11" t="n">
        <v>25</v>
      </c>
      <c r="B45" s="12">
        <f>A45*$B$35</f>
        <v/>
      </c>
      <c r="C45" s="12">
        <f>A45*$B$36*Premissas!$B$13*Premissas!$B$23</f>
        <v/>
      </c>
      <c r="D45" s="12">
        <f>A45*MAX(0,$B$36*Premissas!$B$13*$B$37-Premissas!$B$12)*Premissas!$B$11</f>
        <v/>
      </c>
      <c r="E45" s="12">
        <f>A45*Premissas!$B$15</f>
        <v/>
      </c>
      <c r="F45" s="12">
        <f>IF(A45&lt;=10,Premissas!$B$17,IF(A45&lt;=30,Premissas!$B$18,Premissas!$B$19))+Premissas!$B$16</f>
        <v/>
      </c>
      <c r="G45" s="12">
        <f>B45-C45-D45-E45-F45</f>
        <v/>
      </c>
      <c r="H45" s="12">
        <f>B45*Premissas!$B$14</f>
        <v/>
      </c>
      <c r="I45" s="12">
        <f>IF(A45&lt;=5,0,Premissas!$B$20)</f>
        <v/>
      </c>
      <c r="J45" s="12">
        <f>G45-H45-I45</f>
        <v/>
      </c>
      <c r="K45" s="11">
        <f>A45*$B$38</f>
        <v/>
      </c>
      <c r="L45" s="12">
        <f>J45-K45*Premissas!$B$21</f>
        <v/>
      </c>
    </row>
    <row r="46">
      <c r="A46" s="11" t="n">
        <v>50</v>
      </c>
      <c r="B46" s="12">
        <f>A46*$B$35</f>
        <v/>
      </c>
      <c r="C46" s="12">
        <f>A46*$B$36*Premissas!$B$13*Premissas!$B$23</f>
        <v/>
      </c>
      <c r="D46" s="12">
        <f>A46*MAX(0,$B$36*Premissas!$B$13*$B$37-Premissas!$B$12)*Premissas!$B$11</f>
        <v/>
      </c>
      <c r="E46" s="12">
        <f>A46*Premissas!$B$15</f>
        <v/>
      </c>
      <c r="F46" s="12">
        <f>IF(A46&lt;=10,Premissas!$B$17,IF(A46&lt;=30,Premissas!$B$18,Premissas!$B$19))+Premissas!$B$16</f>
        <v/>
      </c>
      <c r="G46" s="12">
        <f>B46-C46-D46-E46-F46</f>
        <v/>
      </c>
      <c r="H46" s="12">
        <f>B46*Premissas!$B$14</f>
        <v/>
      </c>
      <c r="I46" s="12">
        <f>IF(A46&lt;=5,0,Premissas!$B$20)</f>
        <v/>
      </c>
      <c r="J46" s="12">
        <f>G46-H46-I46</f>
        <v/>
      </c>
      <c r="K46" s="11">
        <f>A46*$B$38</f>
        <v/>
      </c>
      <c r="L46" s="12">
        <f>J46-K46*Premissas!$B$21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Quantos clientes cabem em 1 hora por dia?</t>
        </is>
      </c>
    </row>
    <row r="3">
      <c r="A3" t="inlineStr">
        <is>
          <t>Horas disponíveis por mês</t>
        </is>
      </c>
      <c r="B3" s="3" t="n">
        <v>30</v>
      </c>
    </row>
    <row r="4">
      <c r="A4" t="inlineStr">
        <is>
          <t>Horas de suporte por cliente/mês</t>
        </is>
      </c>
      <c r="B4" s="3" t="n">
        <v>1</v>
      </c>
    </row>
    <row r="5">
      <c r="A5" t="inlineStr">
        <is>
          <t>Horas para implantar 1 cliente novo (única)</t>
        </is>
      </c>
      <c r="B5" s="3" t="n">
        <v>5</v>
      </c>
    </row>
    <row r="6">
      <c r="A6" t="inlineStr">
        <is>
          <t>Clientes novos por mês</t>
        </is>
      </c>
      <c r="B6" s="3" t="n">
        <v>2</v>
      </c>
    </row>
    <row r="7">
      <c r="A7" t="inlineStr">
        <is>
          <t>Horas de prospecção por mês</t>
        </is>
      </c>
      <c r="B7" s="3" t="n">
        <v>6</v>
      </c>
    </row>
    <row r="9">
      <c r="A9" s="5" t="inlineStr">
        <is>
          <t>Horas que sobram para suporte</t>
        </is>
      </c>
      <c r="B9">
        <f>B3-B5*B6-B7</f>
        <v/>
      </c>
    </row>
    <row r="10">
      <c r="A10" s="5" t="inlineStr">
        <is>
          <t>Máximo de clientes que você consegue atender</t>
        </is>
      </c>
      <c r="B10">
        <f>ROUNDDOWN(B9/B4,0)</f>
        <v/>
      </c>
    </row>
    <row r="12">
      <c r="A12" t="inlineStr">
        <is>
          <t>Acima disso: automatize o suporte, aumente o preço ou delegue (ver guia, fase 13).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2026-10-16T11:19:22Z</dcterms:created>
  <dcterms:modified xmlns:dcterms="http://purl.org/dc/terms/" xmlns:xsi="http://www.w3.org/2001/XMLSchema-instance" xsi:type="dcterms:W3CDTF">2026-10-16T11:19:22Z</dcterms:modified>
</cp:coreProperties>
</file>